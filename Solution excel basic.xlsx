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ta\Downloads\"/>
    </mc:Choice>
  </mc:AlternateContent>
  <xr:revisionPtr revIDLastSave="0" documentId="8_{5B082101-D106-4281-BC86-FBCB1CEB44F5}" xr6:coauthVersionLast="47" xr6:coauthVersionMax="47" xr10:uidLastSave="{00000000-0000-0000-0000-000000000000}"/>
  <bookViews>
    <workbookView xWindow="-108" yWindow="-108" windowWidth="23256" windowHeight="12456" xr2:uid="{46A9ACED-D6F6-41D6-9383-645F53892085}"/>
  </bookViews>
  <sheets>
    <sheet name="Sheet1" sheetId="1" r:id="rId1"/>
  </sheets>
  <definedNames>
    <definedName name="_xlnm._FilterDatabase" localSheetId="0" hidden="1">Sheet1!$A$1:$G$51</definedName>
  </definedName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<sst xmlns="http://schemas.openxmlformats.org/spreadsheetml/2006/main" count="168" uniqueCount="71">
  <si>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</si>
  <si>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</si>
  <si>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</si>
  <si>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</si>
  <si>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</si>
  <si>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</si>
  <si>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</si>
  <si>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</si>
  <si>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</si>
  <si>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</si>
  <si>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</si>
  <si>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</si>
  <si>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</si>
  <si>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</si>
  <si>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</si>
  <si>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</si>
  <si>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</si>
  <si>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</si>
  <si>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</si>
  <si>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</si>
  <si>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</si>
  <si>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</si>
  <si>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</si>
  <si>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</si>
  <si>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</si>
  <si>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</si>
  <si>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</si>
  <si>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</si>
  <si>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</si>
  <si>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</si>
  <si>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</si>
  <si>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</si>
  <si>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</si>
  <si>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</si>
  <si>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</si>
  <si>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</si>
  <si>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</si>
  <si>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</si>
  <si>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</si>
  <si>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</si>
  <si>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</si>
  <si>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</si>
  <si>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</si>
  <si>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</si>
  <si>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</si>
  <si>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</si>
  <si>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</si>
  <si>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</si>
  <si>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</si>
  <si>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</si>
  <si>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</si>
  <si>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</si>
  <si>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</si>
  <si>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</si>
  <si>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</si>
  <si>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</si>
  <si>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</si>
  <si>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</si>
  <si>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</si>
  <si>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</si>
  <si>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</si>
  <si>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</si>
  <si>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</si>
  <si>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</si>
  <si>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</si>
  <si>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</si>
  <si>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Notebooks in the North region</t>
  </si>
  <si>
    <t xml:space="preserve">Total Sales </t>
  </si>
  <si>
    <t>Grand Total</t>
  </si>
  <si>
    <t xml:space="preserve">Sum of Total Sales </t>
  </si>
  <si>
    <t>Total Sales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</si>
</sst>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Patil" refreshedDate="46076.919409606482" createdVersion="8" refreshedVersion="8" minRefreshableVersion="3" recordCount="50" xr:uid="{7A40D300-E52D-4FD6-BB56-3D0495347276}">
  <cacheSource type="worksheet">
    <worksheetSource ref="A1:I51" sheet="Sheet1"/>
  </cacheSource>
  <cacheFields count="9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Total Sales " numFmtId="0">
      <sharedItems containsSemiMixedTypes="0" containsString="0" containsNumber="1" containsInteger="1" minValue="90" maxValue="850"/>
    </cacheField>
    <cacheField name="Notebooks in the North region" numFmtId="0">
      <sharedItems containsSemiMixedTypes="0" containsString="0" containsNumber="1" containsInteger="1" minValue="2900" maxValue="2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1-05T00:00:00"/>
    <n v="500"/>
    <n v="2900"/>
  </r>
  <r>
    <n v="1002"/>
    <s v="Neha Verma"/>
    <s v="South"/>
    <x v="1"/>
    <n v="20"/>
    <n v="10"/>
    <d v="2024-01-06T00:00:00"/>
    <n v="200"/>
    <n v="2900"/>
  </r>
  <r>
    <n v="1003"/>
    <s v="Rahul Singh"/>
    <s v="East"/>
    <x v="2"/>
    <n v="15"/>
    <n v="25"/>
    <d v="2024-01-07T00:00:00"/>
    <n v="375"/>
    <n v="2900"/>
  </r>
  <r>
    <n v="1004"/>
    <s v="Pooja Mehta"/>
    <s v="West"/>
    <x v="0"/>
    <n v="5"/>
    <n v="50"/>
    <d v="2024-01-08T00:00:00"/>
    <n v="250"/>
    <n v="2900"/>
  </r>
  <r>
    <n v="1005"/>
    <s v="Ankit Jain"/>
    <s v="North"/>
    <x v="3"/>
    <n v="30"/>
    <n v="5"/>
    <d v="2024-01-10T00:00:00"/>
    <n v="150"/>
    <n v="2900"/>
  </r>
  <r>
    <n v="1006"/>
    <s v="Sneha Patel"/>
    <s v="South"/>
    <x v="0"/>
    <n v="12"/>
    <n v="50"/>
    <d v="2024-01-11T00:00:00"/>
    <n v="600"/>
    <n v="2900"/>
  </r>
  <r>
    <n v="1007"/>
    <s v="Vikas Gupta"/>
    <s v="East"/>
    <x v="4"/>
    <n v="25"/>
    <n v="8"/>
    <d v="2024-01-13T00:00:00"/>
    <n v="200"/>
    <n v="2900"/>
  </r>
  <r>
    <n v="1008"/>
    <s v="Meera Nair"/>
    <s v="West"/>
    <x v="1"/>
    <n v="18"/>
    <n v="10"/>
    <d v="2024-01-15T00:00:00"/>
    <n v="180"/>
    <n v="2900"/>
  </r>
  <r>
    <n v="1009"/>
    <s v="Anjali Rao"/>
    <s v="North"/>
    <x v="2"/>
    <n v="22"/>
    <n v="25"/>
    <d v="2024-01-17T00:00:00"/>
    <n v="550"/>
    <n v="2900"/>
  </r>
  <r>
    <n v="1010"/>
    <s v="Manoj Das"/>
    <s v="South"/>
    <x v="0"/>
    <n v="8"/>
    <n v="50"/>
    <d v="2024-01-18T00:00:00"/>
    <n v="400"/>
    <n v="2900"/>
  </r>
  <r>
    <n v="1011"/>
    <s v="Ritika Sen"/>
    <s v="East"/>
    <x v="3"/>
    <n v="40"/>
    <n v="5"/>
    <d v="2024-01-19T00:00:00"/>
    <n v="200"/>
    <n v="2900"/>
  </r>
  <r>
    <n v="1012"/>
    <s v="Karan Malhotra"/>
    <s v="West"/>
    <x v="4"/>
    <n v="35"/>
    <n v="8"/>
    <d v="2024-01-20T00:00:00"/>
    <n v="280"/>
    <n v="2900"/>
  </r>
  <r>
    <n v="1013"/>
    <s v="Aryan Joshi"/>
    <s v="North"/>
    <x v="0"/>
    <n v="14"/>
    <n v="50"/>
    <d v="2024-01-22T00:00:00"/>
    <n v="700"/>
    <n v="2900"/>
  </r>
  <r>
    <n v="1014"/>
    <s v="Divya Kapoor"/>
    <s v="South"/>
    <x v="1"/>
    <n v="28"/>
    <n v="10"/>
    <d v="2024-01-23T00:00:00"/>
    <n v="280"/>
    <n v="2900"/>
  </r>
  <r>
    <n v="1015"/>
    <s v="Sahil Arora"/>
    <s v="East"/>
    <x v="2"/>
    <n v="12"/>
    <n v="25"/>
    <d v="2024-01-24T00:00:00"/>
    <n v="300"/>
    <n v="2900"/>
  </r>
  <r>
    <n v="1016"/>
    <s v="Muskan Jain"/>
    <s v="West"/>
    <x v="3"/>
    <n v="25"/>
    <n v="5"/>
    <d v="2024-01-26T00:00:00"/>
    <n v="125"/>
    <n v="2900"/>
  </r>
  <r>
    <n v="1017"/>
    <s v="Rohan Gupta"/>
    <s v="North"/>
    <x v="4"/>
    <n v="20"/>
    <n v="8"/>
    <d v="2024-01-28T00:00:00"/>
    <n v="160"/>
    <n v="2900"/>
  </r>
  <r>
    <n v="1018"/>
    <s v="Nidhi Sharma"/>
    <s v="South"/>
    <x v="0"/>
    <n v="10"/>
    <n v="50"/>
    <d v="2024-01-29T00:00:00"/>
    <n v="500"/>
    <n v="2900"/>
  </r>
  <r>
    <n v="1019"/>
    <s v="Tarun Verma"/>
    <s v="East"/>
    <x v="1"/>
    <n v="15"/>
    <n v="10"/>
    <d v="2024-01-30T00:00:00"/>
    <n v="150"/>
    <n v="2900"/>
  </r>
  <r>
    <n v="1020"/>
    <s v="Simran Kaur"/>
    <s v="West"/>
    <x v="2"/>
    <n v="18"/>
    <n v="25"/>
    <d v="2024-02-01T00:00:00"/>
    <n v="450"/>
    <n v="2900"/>
  </r>
  <r>
    <n v="1021"/>
    <s v="Deepak Rao"/>
    <s v="North"/>
    <x v="0"/>
    <n v="9"/>
    <n v="50"/>
    <d v="2024-02-02T00:00:00"/>
    <n v="450"/>
    <n v="2900"/>
  </r>
  <r>
    <n v="1022"/>
    <s v="Payal Mehta"/>
    <s v="South"/>
    <x v="3"/>
    <n v="35"/>
    <n v="5"/>
    <d v="2024-02-03T00:00:00"/>
    <n v="175"/>
    <n v="2900"/>
  </r>
  <r>
    <n v="1023"/>
    <s v="Aditya Singh"/>
    <s v="East"/>
    <x v="4"/>
    <n v="30"/>
    <n v="8"/>
    <d v="2024-02-04T00:00:00"/>
    <n v="240"/>
    <n v="2900"/>
  </r>
  <r>
    <n v="1024"/>
    <s v="Shreya Nair"/>
    <s v="West"/>
    <x v="0"/>
    <n v="11"/>
    <n v="50"/>
    <d v="2024-02-06T00:00:00"/>
    <n v="550"/>
    <n v="2900"/>
  </r>
  <r>
    <n v="1025"/>
    <s v="Sanjay Kumar"/>
    <s v="North"/>
    <x v="1"/>
    <n v="14"/>
    <n v="10"/>
    <d v="2024-02-07T00:00:00"/>
    <n v="140"/>
    <n v="2900"/>
  </r>
  <r>
    <n v="1026"/>
    <s v="Aarti Sharma"/>
    <s v="South"/>
    <x v="2"/>
    <n v="16"/>
    <n v="25"/>
    <d v="2024-02-08T00:00:00"/>
    <n v="400"/>
    <n v="2900"/>
  </r>
  <r>
    <n v="1027"/>
    <s v="Rajesh Patel"/>
    <s v="East"/>
    <x v="3"/>
    <n v="22"/>
    <n v="5"/>
    <d v="2024-02-09T00:00:00"/>
    <n v="110"/>
    <n v="2900"/>
  </r>
  <r>
    <n v="1028"/>
    <s v="Preeti Joshi"/>
    <s v="West"/>
    <x v="4"/>
    <n v="27"/>
    <n v="8"/>
    <d v="2024-02-10T00:00:00"/>
    <n v="216"/>
    <n v="2900"/>
  </r>
  <r>
    <n v="1029"/>
    <s v="Anurag Mishra"/>
    <s v="North"/>
    <x v="0"/>
    <n v="13"/>
    <n v="50"/>
    <d v="2024-02-12T00:00:00"/>
    <n v="650"/>
    <n v="2900"/>
  </r>
  <r>
    <n v="1030"/>
    <s v="Sanya Kapoor"/>
    <s v="South"/>
    <x v="1"/>
    <n v="32"/>
    <n v="10"/>
    <d v="2024-02-13T00:00:00"/>
    <n v="320"/>
    <n v="2900"/>
  </r>
  <r>
    <n v="1031"/>
    <s v="Harsh Yadav"/>
    <s v="East"/>
    <x v="2"/>
    <n v="10"/>
    <n v="25"/>
    <d v="2024-02-14T00:00:00"/>
    <n v="250"/>
    <n v="2900"/>
  </r>
  <r>
    <n v="1032"/>
    <s v="Kajal Rani"/>
    <s v="West"/>
    <x v="3"/>
    <n v="18"/>
    <n v="5"/>
    <d v="2024-02-16T00:00:00"/>
    <n v="90"/>
    <n v="2900"/>
  </r>
  <r>
    <n v="1033"/>
    <s v="Varun Sharma"/>
    <s v="North"/>
    <x v="4"/>
    <n v="22"/>
    <n v="8"/>
    <d v="2024-02-17T00:00:00"/>
    <n v="176"/>
    <n v="2900"/>
  </r>
  <r>
    <n v="1034"/>
    <s v="Swati Arora"/>
    <s v="South"/>
    <x v="0"/>
    <n v="17"/>
    <n v="50"/>
    <d v="2024-02-18T00:00:00"/>
    <n v="850"/>
    <n v="2900"/>
  </r>
  <r>
    <n v="1035"/>
    <s v="Akhil Jain"/>
    <s v="East"/>
    <x v="1"/>
    <n v="19"/>
    <n v="10"/>
    <d v="2024-02-19T00:00:00"/>
    <n v="190"/>
    <n v="2900"/>
  </r>
  <r>
    <n v="1036"/>
    <s v="Priyanka Das"/>
    <s v="West"/>
    <x v="2"/>
    <n v="15"/>
    <n v="25"/>
    <d v="2024-02-21T00:00:00"/>
    <n v="375"/>
    <n v="2900"/>
  </r>
  <r>
    <n v="1037"/>
    <s v="Ravi Nair"/>
    <s v="North"/>
    <x v="3"/>
    <n v="28"/>
    <n v="5"/>
    <d v="2024-02-22T00:00:00"/>
    <n v="140"/>
    <n v="2900"/>
  </r>
  <r>
    <n v="1038"/>
    <s v="Komal Singh"/>
    <s v="South"/>
    <x v="4"/>
    <n v="24"/>
    <n v="8"/>
    <d v="2024-02-23T00:00:00"/>
    <n v="192"/>
    <n v="2900"/>
  </r>
  <r>
    <n v="1039"/>
    <s v="Ayesha Khan"/>
    <s v="East"/>
    <x v="0"/>
    <n v="16"/>
    <n v="50"/>
    <d v="2024-02-25T00:00:00"/>
    <n v="800"/>
    <n v="2900"/>
  </r>
  <r>
    <n v="1040"/>
    <s v="Arjun Mehta"/>
    <s v="West"/>
    <x v="1"/>
    <n v="27"/>
    <n v="10"/>
    <d v="2024-02-26T00:00:00"/>
    <n v="270"/>
    <n v="2900"/>
  </r>
  <r>
    <n v="1041"/>
    <s v="Sonali Gupta"/>
    <s v="North"/>
    <x v="2"/>
    <n v="21"/>
    <n v="25"/>
    <d v="2024-02-27T00:00:00"/>
    <n v="525"/>
    <n v="2900"/>
  </r>
  <r>
    <n v="1042"/>
    <s v="Neeraj Kapoor"/>
    <s v="South"/>
    <x v="3"/>
    <n v="30"/>
    <n v="5"/>
    <d v="2024-02-28T00:00:00"/>
    <n v="150"/>
    <n v="2900"/>
  </r>
  <r>
    <n v="1043"/>
    <s v="Shruti Sharma"/>
    <s v="East"/>
    <x v="4"/>
    <n v="26"/>
    <n v="8"/>
    <d v="2024-03-01T00:00:00"/>
    <n v="208"/>
    <n v="2900"/>
  </r>
  <r>
    <n v="1044"/>
    <s v="Yash Arora"/>
    <s v="West"/>
    <x v="0"/>
    <n v="14"/>
    <n v="50"/>
    <d v="2024-03-02T00:00:00"/>
    <n v="700"/>
    <n v="2900"/>
  </r>
  <r>
    <n v="1045"/>
    <s v="Manish Das"/>
    <s v="North"/>
    <x v="1"/>
    <n v="20"/>
    <n v="10"/>
    <d v="2024-03-03T00:00:00"/>
    <n v="200"/>
    <n v="2900"/>
  </r>
  <r>
    <n v="1046"/>
    <s v="Rupal Nair"/>
    <s v="South"/>
    <x v="2"/>
    <n v="17"/>
    <n v="25"/>
    <d v="2024-03-04T00:00:00"/>
    <n v="425"/>
    <n v="2900"/>
  </r>
  <r>
    <n v="1047"/>
    <s v="Sonia Verma"/>
    <s v="East"/>
    <x v="3"/>
    <n v="19"/>
    <n v="5"/>
    <d v="2024-03-05T00:00:00"/>
    <n v="95"/>
    <n v="2900"/>
  </r>
  <r>
    <n v="1048"/>
    <s v="Kunal Singh"/>
    <s v="West"/>
    <x v="4"/>
    <n v="32"/>
    <n v="8"/>
    <d v="2024-03-06T00:00:00"/>
    <n v="256"/>
    <n v="2900"/>
  </r>
  <r>
    <n v="1049"/>
    <s v="Ritika Jain"/>
    <s v="North"/>
    <x v="0"/>
    <n v="12"/>
    <n v="50"/>
    <d v="2024-03-07T00:00:00"/>
    <n v="600"/>
    <n v="2900"/>
  </r>
  <r>
    <n v="1050"/>
    <s v="Vivek Malhotra"/>
    <s v="South"/>
    <x v="1"/>
    <n v="25"/>
    <n v="10"/>
    <d v="2024-03-08T00:00:00"/>
    <n v="250"/>
    <n v="2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EA891-1440-4C4C-BEBC-FC2CD6C0058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K2:L8" firstHeaderRow="1" firstDataRow="1" firstDataCol="1"/>
  <pivotFields count="9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" fld="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CCCF-B066-4D43-9F6A-2A1B4E1295B2}">
  <dimension ref="A1:L51"/>
  <sheetViews>
    <sheetView tabSelected="1" workbookViewId="0">
      <selection activeCell="K15" sqref="K15"/>
    </sheetView>
  </sheetViews>
  <sheetFormatPr defaultRowHeight="14.4" x14ac:dyDescent="0.3"/>
  <cols>
    <col min="1" max="1" width="7.6640625" bestFit="1" customWidth="1"/>
    <col min="2" max="2" width="25" customWidth="1"/>
    <col min="3" max="3" width="6.77734375" bestFit="1" customWidth="1"/>
    <col min="4" max="4" width="13.88671875" customWidth="1"/>
    <col min="5" max="6" width="9" bestFit="1" customWidth="1"/>
    <col min="7" max="7" width="11.21875" bestFit="1" customWidth="1"/>
    <col min="8" max="8" width="12.33203125" customWidth="1"/>
    <col min="9" max="9" width="28" bestFit="1" customWidth="1"/>
    <col min="11" max="11" width="10.5546875" bestFit="1" customWidth="1"/>
    <col min="12" max="12" width="16.44140625" bestFit="1" customWidth="1"/>
    <col min="13" max="17" width="8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67</v>
      </c>
      <c r="I1" s="5" t="s">
        <v>66</v>
      </c>
      <c r="K1" s="6" t="s">
        <v>70</v>
      </c>
      <c r="L1" s="6"/>
    </row>
    <row r="2" spans="1:12" x14ac:dyDescent="0.3">
      <c r="A2" s="2">
        <v>1001</v>
      </c>
      <c r="B2" s="2" t="s">
        <v>7</v>
      </c>
      <c r="C2" s="2" t="s">
        <v>8</v>
      </c>
      <c r="D2" s="2" t="s">
        <v>9</v>
      </c>
      <c r="E2" s="2">
        <v>10</v>
      </c>
      <c r="F2" s="2">
        <v>50</v>
      </c>
      <c r="G2" s="3">
        <v>45296</v>
      </c>
      <c r="H2" s="4">
        <f>E2*F2</f>
        <v>500</v>
      </c>
      <c r="I2" s="4">
        <f>SUMIFS(H:H, D:D, "Notebook", C:C, "North")</f>
        <v>2900</v>
      </c>
      <c r="K2" s="7" t="s">
        <v>3</v>
      </c>
      <c r="L2" s="8" t="s">
        <v>69</v>
      </c>
    </row>
    <row r="3" spans="1:12" x14ac:dyDescent="0.3">
      <c r="A3" s="2">
        <v>1002</v>
      </c>
      <c r="B3" s="2" t="s">
        <v>10</v>
      </c>
      <c r="C3" s="2" t="s">
        <v>11</v>
      </c>
      <c r="D3" s="2" t="s">
        <v>12</v>
      </c>
      <c r="E3" s="2">
        <v>20</v>
      </c>
      <c r="F3" s="2">
        <v>10</v>
      </c>
      <c r="G3" s="3">
        <v>45297</v>
      </c>
      <c r="H3" s="4">
        <f t="shared" ref="H3:H51" si="0">E3*F3</f>
        <v>200</v>
      </c>
      <c r="I3" s="4">
        <f>SUMIFS(H:H, D:D, "Notebook", C:C, "North")</f>
        <v>2900</v>
      </c>
      <c r="K3" s="9" t="s">
        <v>22</v>
      </c>
      <c r="L3" s="8">
        <v>1928</v>
      </c>
    </row>
    <row r="4" spans="1:12" x14ac:dyDescent="0.3">
      <c r="A4" s="2">
        <v>1003</v>
      </c>
      <c r="B4" s="2" t="s">
        <v>13</v>
      </c>
      <c r="C4" s="2" t="s">
        <v>14</v>
      </c>
      <c r="D4" s="2" t="s">
        <v>15</v>
      </c>
      <c r="E4" s="2">
        <v>15</v>
      </c>
      <c r="F4" s="2">
        <v>25</v>
      </c>
      <c r="G4" s="3">
        <v>45298</v>
      </c>
      <c r="H4" s="4">
        <f t="shared" si="0"/>
        <v>375</v>
      </c>
      <c r="I4" s="4">
        <f>SUMIFS(H:H, D:D, "Notebook", C:C, "North")</f>
        <v>2900</v>
      </c>
      <c r="K4" s="9" t="s">
        <v>15</v>
      </c>
      <c r="L4" s="8">
        <v>3650</v>
      </c>
    </row>
    <row r="5" spans="1:12" x14ac:dyDescent="0.3">
      <c r="A5" s="2">
        <v>1004</v>
      </c>
      <c r="B5" s="2" t="s">
        <v>16</v>
      </c>
      <c r="C5" s="2" t="s">
        <v>17</v>
      </c>
      <c r="D5" s="2" t="s">
        <v>9</v>
      </c>
      <c r="E5" s="2">
        <v>5</v>
      </c>
      <c r="F5" s="2">
        <v>50</v>
      </c>
      <c r="G5" s="3">
        <v>45299</v>
      </c>
      <c r="H5" s="4">
        <f t="shared" si="0"/>
        <v>250</v>
      </c>
      <c r="I5" s="4">
        <f>SUMIFS(H:H, D:D, "Notebook", C:C, "North")</f>
        <v>2900</v>
      </c>
      <c r="K5" s="9" t="s">
        <v>9</v>
      </c>
      <c r="L5" s="8">
        <v>7550</v>
      </c>
    </row>
    <row r="6" spans="1:12" x14ac:dyDescent="0.3">
      <c r="A6" s="2">
        <v>1005</v>
      </c>
      <c r="B6" s="2" t="s">
        <v>18</v>
      </c>
      <c r="C6" s="2" t="s">
        <v>8</v>
      </c>
      <c r="D6" s="2" t="s">
        <v>19</v>
      </c>
      <c r="E6" s="2">
        <v>30</v>
      </c>
      <c r="F6" s="2">
        <v>5</v>
      </c>
      <c r="G6" s="3">
        <v>45301</v>
      </c>
      <c r="H6" s="4">
        <f t="shared" si="0"/>
        <v>150</v>
      </c>
      <c r="I6" s="4">
        <f>SUMIFS(H:H, D:D, "Notebook", C:C, "North")</f>
        <v>2900</v>
      </c>
      <c r="K6" s="9" t="s">
        <v>12</v>
      </c>
      <c r="L6" s="8">
        <v>2180</v>
      </c>
    </row>
    <row r="7" spans="1:12" x14ac:dyDescent="0.3">
      <c r="A7" s="2">
        <v>1006</v>
      </c>
      <c r="B7" s="2" t="s">
        <v>20</v>
      </c>
      <c r="C7" s="2" t="s">
        <v>11</v>
      </c>
      <c r="D7" s="2" t="s">
        <v>9</v>
      </c>
      <c r="E7" s="2">
        <v>12</v>
      </c>
      <c r="F7" s="2">
        <v>50</v>
      </c>
      <c r="G7" s="3">
        <v>45302</v>
      </c>
      <c r="H7" s="4">
        <f t="shared" si="0"/>
        <v>600</v>
      </c>
      <c r="I7" s="4">
        <f>SUMIFS(H:H, D:D, "Notebook", C:C, "North")</f>
        <v>2900</v>
      </c>
      <c r="K7" s="9" t="s">
        <v>19</v>
      </c>
      <c r="L7" s="8">
        <v>1235</v>
      </c>
    </row>
    <row r="8" spans="1:12" x14ac:dyDescent="0.3">
      <c r="A8" s="2">
        <v>1007</v>
      </c>
      <c r="B8" s="2" t="s">
        <v>21</v>
      </c>
      <c r="C8" s="2" t="s">
        <v>14</v>
      </c>
      <c r="D8" s="2" t="s">
        <v>22</v>
      </c>
      <c r="E8" s="2">
        <v>25</v>
      </c>
      <c r="F8" s="2">
        <v>8</v>
      </c>
      <c r="G8" s="3">
        <v>45304</v>
      </c>
      <c r="H8" s="4">
        <f t="shared" si="0"/>
        <v>200</v>
      </c>
      <c r="I8" s="4">
        <f>SUMIFS(H:H, D:D, "Notebook", C:C, "North")</f>
        <v>2900</v>
      </c>
      <c r="K8" s="9" t="s">
        <v>68</v>
      </c>
      <c r="L8" s="8">
        <v>16543</v>
      </c>
    </row>
    <row r="9" spans="1:12" x14ac:dyDescent="0.3">
      <c r="A9" s="2">
        <v>1008</v>
      </c>
      <c r="B9" s="2" t="s">
        <v>23</v>
      </c>
      <c r="C9" s="2" t="s">
        <v>17</v>
      </c>
      <c r="D9" s="2" t="s">
        <v>12</v>
      </c>
      <c r="E9" s="2">
        <v>18</v>
      </c>
      <c r="F9" s="2">
        <v>10</v>
      </c>
      <c r="G9" s="3">
        <v>45306</v>
      </c>
      <c r="H9" s="4">
        <f t="shared" si="0"/>
        <v>180</v>
      </c>
      <c r="I9" s="4">
        <f>SUMIFS(H:H, D:D, "Notebook", C:C, "North")</f>
        <v>2900</v>
      </c>
    </row>
    <row r="10" spans="1:12" x14ac:dyDescent="0.3">
      <c r="A10" s="2">
        <v>1009</v>
      </c>
      <c r="B10" s="2" t="s">
        <v>24</v>
      </c>
      <c r="C10" s="2" t="s">
        <v>8</v>
      </c>
      <c r="D10" s="2" t="s">
        <v>15</v>
      </c>
      <c r="E10" s="2">
        <v>22</v>
      </c>
      <c r="F10" s="2">
        <v>25</v>
      </c>
      <c r="G10" s="3">
        <v>45308</v>
      </c>
      <c r="H10" s="4">
        <f t="shared" si="0"/>
        <v>550</v>
      </c>
      <c r="I10" s="4">
        <f>SUMIFS(H:H, D:D, "Notebook", C:C, "North")</f>
        <v>2900</v>
      </c>
    </row>
    <row r="11" spans="1:12" x14ac:dyDescent="0.3">
      <c r="A11" s="2">
        <v>1010</v>
      </c>
      <c r="B11" s="2" t="s">
        <v>25</v>
      </c>
      <c r="C11" s="2" t="s">
        <v>11</v>
      </c>
      <c r="D11" s="2" t="s">
        <v>9</v>
      </c>
      <c r="E11" s="2">
        <v>8</v>
      </c>
      <c r="F11" s="2">
        <v>50</v>
      </c>
      <c r="G11" s="3">
        <v>45309</v>
      </c>
      <c r="H11" s="4">
        <f t="shared" si="0"/>
        <v>400</v>
      </c>
      <c r="I11" s="4">
        <f>SUMIFS(H:H, D:D, "Notebook", C:C, "North")</f>
        <v>2900</v>
      </c>
    </row>
    <row r="12" spans="1:12" x14ac:dyDescent="0.3">
      <c r="A12" s="2">
        <v>1011</v>
      </c>
      <c r="B12" s="2" t="s">
        <v>26</v>
      </c>
      <c r="C12" s="2" t="s">
        <v>14</v>
      </c>
      <c r="D12" s="2" t="s">
        <v>19</v>
      </c>
      <c r="E12" s="2">
        <v>40</v>
      </c>
      <c r="F12" s="2">
        <v>5</v>
      </c>
      <c r="G12" s="3">
        <v>45310</v>
      </c>
      <c r="H12" s="4">
        <f t="shared" si="0"/>
        <v>200</v>
      </c>
      <c r="I12" s="4">
        <f>SUMIFS(H:H, D:D, "Notebook", C:C, "North")</f>
        <v>2900</v>
      </c>
    </row>
    <row r="13" spans="1:12" x14ac:dyDescent="0.3">
      <c r="A13" s="2">
        <v>1012</v>
      </c>
      <c r="B13" s="2" t="s">
        <v>27</v>
      </c>
      <c r="C13" s="2" t="s">
        <v>17</v>
      </c>
      <c r="D13" s="2" t="s">
        <v>22</v>
      </c>
      <c r="E13" s="2">
        <v>35</v>
      </c>
      <c r="F13" s="2">
        <v>8</v>
      </c>
      <c r="G13" s="3">
        <v>45311</v>
      </c>
      <c r="H13" s="4">
        <f t="shared" si="0"/>
        <v>280</v>
      </c>
      <c r="I13" s="4">
        <f>SUMIFS(H:H, D:D, "Notebook", C:C, "North")</f>
        <v>2900</v>
      </c>
    </row>
    <row r="14" spans="1:12" x14ac:dyDescent="0.3">
      <c r="A14" s="2">
        <v>1013</v>
      </c>
      <c r="B14" s="2" t="s">
        <v>28</v>
      </c>
      <c r="C14" s="2" t="s">
        <v>8</v>
      </c>
      <c r="D14" s="2" t="s">
        <v>9</v>
      </c>
      <c r="E14" s="2">
        <v>14</v>
      </c>
      <c r="F14" s="2">
        <v>50</v>
      </c>
      <c r="G14" s="3">
        <v>45313</v>
      </c>
      <c r="H14" s="4">
        <f t="shared" si="0"/>
        <v>700</v>
      </c>
      <c r="I14" s="4">
        <f>SUMIFS(H:H, D:D, "Notebook", C:C, "North")</f>
        <v>2900</v>
      </c>
    </row>
    <row r="15" spans="1:12" x14ac:dyDescent="0.3">
      <c r="A15" s="2">
        <v>1014</v>
      </c>
      <c r="B15" s="2" t="s">
        <v>29</v>
      </c>
      <c r="C15" s="2" t="s">
        <v>11</v>
      </c>
      <c r="D15" s="2" t="s">
        <v>12</v>
      </c>
      <c r="E15" s="2">
        <v>28</v>
      </c>
      <c r="F15" s="2">
        <v>10</v>
      </c>
      <c r="G15" s="3">
        <v>45314</v>
      </c>
      <c r="H15" s="4">
        <f t="shared" si="0"/>
        <v>280</v>
      </c>
      <c r="I15" s="4">
        <f>SUMIFS(H:H, D:D, "Notebook", C:C, "North")</f>
        <v>2900</v>
      </c>
    </row>
    <row r="16" spans="1:12" x14ac:dyDescent="0.3">
      <c r="A16" s="2">
        <v>1015</v>
      </c>
      <c r="B16" s="2" t="s">
        <v>30</v>
      </c>
      <c r="C16" s="2" t="s">
        <v>14</v>
      </c>
      <c r="D16" s="2" t="s">
        <v>15</v>
      </c>
      <c r="E16" s="2">
        <v>12</v>
      </c>
      <c r="F16" s="2">
        <v>25</v>
      </c>
      <c r="G16" s="3">
        <v>45315</v>
      </c>
      <c r="H16" s="4">
        <f t="shared" si="0"/>
        <v>300</v>
      </c>
      <c r="I16" s="4">
        <f>SUMIFS(H:H, D:D, "Notebook", C:C, "North")</f>
        <v>2900</v>
      </c>
    </row>
    <row r="17" spans="1:9" x14ac:dyDescent="0.3">
      <c r="A17" s="2">
        <v>1016</v>
      </c>
      <c r="B17" s="2" t="s">
        <v>31</v>
      </c>
      <c r="C17" s="2" t="s">
        <v>17</v>
      </c>
      <c r="D17" s="2" t="s">
        <v>19</v>
      </c>
      <c r="E17" s="2">
        <v>25</v>
      </c>
      <c r="F17" s="2">
        <v>5</v>
      </c>
      <c r="G17" s="3">
        <v>45317</v>
      </c>
      <c r="H17" s="4">
        <f t="shared" si="0"/>
        <v>125</v>
      </c>
      <c r="I17" s="4">
        <f>SUMIFS(H:H, D:D, "Notebook", C:C, "North")</f>
        <v>2900</v>
      </c>
    </row>
    <row r="18" spans="1:9" x14ac:dyDescent="0.3">
      <c r="A18" s="2">
        <v>1017</v>
      </c>
      <c r="B18" s="2" t="s">
        <v>32</v>
      </c>
      <c r="C18" s="2" t="s">
        <v>8</v>
      </c>
      <c r="D18" s="2" t="s">
        <v>22</v>
      </c>
      <c r="E18" s="2">
        <v>20</v>
      </c>
      <c r="F18" s="2">
        <v>8</v>
      </c>
      <c r="G18" s="3">
        <v>45319</v>
      </c>
      <c r="H18" s="4">
        <f t="shared" si="0"/>
        <v>160</v>
      </c>
      <c r="I18" s="4">
        <f>SUMIFS(H:H, D:D, "Notebook", C:C, "North")</f>
        <v>2900</v>
      </c>
    </row>
    <row r="19" spans="1:9" x14ac:dyDescent="0.3">
      <c r="A19" s="2">
        <v>1018</v>
      </c>
      <c r="B19" s="2" t="s">
        <v>33</v>
      </c>
      <c r="C19" s="2" t="s">
        <v>11</v>
      </c>
      <c r="D19" s="2" t="s">
        <v>9</v>
      </c>
      <c r="E19" s="2">
        <v>10</v>
      </c>
      <c r="F19" s="2">
        <v>50</v>
      </c>
      <c r="G19" s="3">
        <v>45320</v>
      </c>
      <c r="H19" s="4">
        <f t="shared" si="0"/>
        <v>500</v>
      </c>
      <c r="I19" s="4">
        <f>SUMIFS(H:H, D:D, "Notebook", C:C, "North")</f>
        <v>2900</v>
      </c>
    </row>
    <row r="20" spans="1:9" x14ac:dyDescent="0.3">
      <c r="A20" s="2">
        <v>1019</v>
      </c>
      <c r="B20" s="2" t="s">
        <v>34</v>
      </c>
      <c r="C20" s="2" t="s">
        <v>14</v>
      </c>
      <c r="D20" s="2" t="s">
        <v>12</v>
      </c>
      <c r="E20" s="2">
        <v>15</v>
      </c>
      <c r="F20" s="2">
        <v>10</v>
      </c>
      <c r="G20" s="3">
        <v>45321</v>
      </c>
      <c r="H20" s="4">
        <f t="shared" si="0"/>
        <v>150</v>
      </c>
      <c r="I20" s="4">
        <f>SUMIFS(H:H, D:D, "Notebook", C:C, "North")</f>
        <v>2900</v>
      </c>
    </row>
    <row r="21" spans="1:9" x14ac:dyDescent="0.3">
      <c r="A21" s="2">
        <v>1020</v>
      </c>
      <c r="B21" s="2" t="s">
        <v>35</v>
      </c>
      <c r="C21" s="2" t="s">
        <v>17</v>
      </c>
      <c r="D21" s="2" t="s">
        <v>15</v>
      </c>
      <c r="E21" s="2">
        <v>18</v>
      </c>
      <c r="F21" s="2">
        <v>25</v>
      </c>
      <c r="G21" s="3">
        <v>45323</v>
      </c>
      <c r="H21" s="4">
        <f t="shared" si="0"/>
        <v>450</v>
      </c>
      <c r="I21" s="4">
        <f>SUMIFS(H:H, D:D, "Notebook", C:C, "North")</f>
        <v>2900</v>
      </c>
    </row>
    <row r="22" spans="1:9" x14ac:dyDescent="0.3">
      <c r="A22" s="2">
        <v>1021</v>
      </c>
      <c r="B22" s="2" t="s">
        <v>36</v>
      </c>
      <c r="C22" s="2" t="s">
        <v>8</v>
      </c>
      <c r="D22" s="2" t="s">
        <v>9</v>
      </c>
      <c r="E22" s="2">
        <v>9</v>
      </c>
      <c r="F22" s="2">
        <v>50</v>
      </c>
      <c r="G22" s="3">
        <v>45324</v>
      </c>
      <c r="H22" s="4">
        <f t="shared" si="0"/>
        <v>450</v>
      </c>
      <c r="I22" s="4">
        <f>SUMIFS(H:H, D:D, "Notebook", C:C, "North")</f>
        <v>2900</v>
      </c>
    </row>
    <row r="23" spans="1:9" x14ac:dyDescent="0.3">
      <c r="A23" s="2">
        <v>1022</v>
      </c>
      <c r="B23" s="2" t="s">
        <v>37</v>
      </c>
      <c r="C23" s="2" t="s">
        <v>11</v>
      </c>
      <c r="D23" s="2" t="s">
        <v>19</v>
      </c>
      <c r="E23" s="2">
        <v>35</v>
      </c>
      <c r="F23" s="2">
        <v>5</v>
      </c>
      <c r="G23" s="3">
        <v>45325</v>
      </c>
      <c r="H23" s="4">
        <f t="shared" si="0"/>
        <v>175</v>
      </c>
      <c r="I23" s="4">
        <f>SUMIFS(H:H, D:D, "Notebook", C:C, "North")</f>
        <v>2900</v>
      </c>
    </row>
    <row r="24" spans="1:9" x14ac:dyDescent="0.3">
      <c r="A24" s="2">
        <v>1023</v>
      </c>
      <c r="B24" s="2" t="s">
        <v>38</v>
      </c>
      <c r="C24" s="2" t="s">
        <v>14</v>
      </c>
      <c r="D24" s="2" t="s">
        <v>22</v>
      </c>
      <c r="E24" s="2">
        <v>30</v>
      </c>
      <c r="F24" s="2">
        <v>8</v>
      </c>
      <c r="G24" s="3">
        <v>45326</v>
      </c>
      <c r="H24" s="4">
        <f t="shared" si="0"/>
        <v>240</v>
      </c>
      <c r="I24" s="4">
        <f>SUMIFS(H:H, D:D, "Notebook", C:C, "North")</f>
        <v>2900</v>
      </c>
    </row>
    <row r="25" spans="1:9" x14ac:dyDescent="0.3">
      <c r="A25" s="2">
        <v>1024</v>
      </c>
      <c r="B25" s="2" t="s">
        <v>39</v>
      </c>
      <c r="C25" s="2" t="s">
        <v>17</v>
      </c>
      <c r="D25" s="2" t="s">
        <v>9</v>
      </c>
      <c r="E25" s="2">
        <v>11</v>
      </c>
      <c r="F25" s="2">
        <v>50</v>
      </c>
      <c r="G25" s="3">
        <v>45328</v>
      </c>
      <c r="H25" s="4">
        <f t="shared" si="0"/>
        <v>550</v>
      </c>
      <c r="I25" s="4">
        <f>SUMIFS(H:H, D:D, "Notebook", C:C, "North")</f>
        <v>2900</v>
      </c>
    </row>
    <row r="26" spans="1:9" x14ac:dyDescent="0.3">
      <c r="A26" s="2">
        <v>1025</v>
      </c>
      <c r="B26" s="2" t="s">
        <v>40</v>
      </c>
      <c r="C26" s="2" t="s">
        <v>8</v>
      </c>
      <c r="D26" s="2" t="s">
        <v>12</v>
      </c>
      <c r="E26" s="2">
        <v>14</v>
      </c>
      <c r="F26" s="2">
        <v>10</v>
      </c>
      <c r="G26" s="3">
        <v>45329</v>
      </c>
      <c r="H26" s="4">
        <f t="shared" si="0"/>
        <v>140</v>
      </c>
      <c r="I26" s="4">
        <f>SUMIFS(H:H, D:D, "Notebook", C:C, "North")</f>
        <v>2900</v>
      </c>
    </row>
    <row r="27" spans="1:9" x14ac:dyDescent="0.3">
      <c r="A27" s="2">
        <v>1026</v>
      </c>
      <c r="B27" s="2" t="s">
        <v>41</v>
      </c>
      <c r="C27" s="2" t="s">
        <v>11</v>
      </c>
      <c r="D27" s="2" t="s">
        <v>15</v>
      </c>
      <c r="E27" s="2">
        <v>16</v>
      </c>
      <c r="F27" s="2">
        <v>25</v>
      </c>
      <c r="G27" s="3">
        <v>45330</v>
      </c>
      <c r="H27" s="4">
        <f t="shared" si="0"/>
        <v>400</v>
      </c>
      <c r="I27" s="4">
        <f>SUMIFS(H:H, D:D, "Notebook", C:C, "North")</f>
        <v>2900</v>
      </c>
    </row>
    <row r="28" spans="1:9" x14ac:dyDescent="0.3">
      <c r="A28" s="2">
        <v>1027</v>
      </c>
      <c r="B28" s="2" t="s">
        <v>42</v>
      </c>
      <c r="C28" s="2" t="s">
        <v>14</v>
      </c>
      <c r="D28" s="2" t="s">
        <v>19</v>
      </c>
      <c r="E28" s="2">
        <v>22</v>
      </c>
      <c r="F28" s="2">
        <v>5</v>
      </c>
      <c r="G28" s="3">
        <v>45331</v>
      </c>
      <c r="H28" s="4">
        <f t="shared" si="0"/>
        <v>110</v>
      </c>
      <c r="I28" s="4">
        <f>SUMIFS(H:H, D:D, "Notebook", C:C, "North")</f>
        <v>2900</v>
      </c>
    </row>
    <row r="29" spans="1:9" x14ac:dyDescent="0.3">
      <c r="A29" s="2">
        <v>1028</v>
      </c>
      <c r="B29" s="2" t="s">
        <v>43</v>
      </c>
      <c r="C29" s="2" t="s">
        <v>17</v>
      </c>
      <c r="D29" s="2" t="s">
        <v>22</v>
      </c>
      <c r="E29" s="2">
        <v>27</v>
      </c>
      <c r="F29" s="2">
        <v>8</v>
      </c>
      <c r="G29" s="3">
        <v>45332</v>
      </c>
      <c r="H29" s="4">
        <f t="shared" si="0"/>
        <v>216</v>
      </c>
      <c r="I29" s="4">
        <f>SUMIFS(H:H, D:D, "Notebook", C:C, "North")</f>
        <v>2900</v>
      </c>
    </row>
    <row r="30" spans="1:9" x14ac:dyDescent="0.3">
      <c r="A30" s="2">
        <v>1029</v>
      </c>
      <c r="B30" s="2" t="s">
        <v>44</v>
      </c>
      <c r="C30" s="2" t="s">
        <v>8</v>
      </c>
      <c r="D30" s="2" t="s">
        <v>9</v>
      </c>
      <c r="E30" s="2">
        <v>13</v>
      </c>
      <c r="F30" s="2">
        <v>50</v>
      </c>
      <c r="G30" s="3">
        <v>45334</v>
      </c>
      <c r="H30" s="4">
        <f t="shared" si="0"/>
        <v>650</v>
      </c>
      <c r="I30" s="4">
        <f>SUMIFS(H:H, D:D, "Notebook", C:C, "North")</f>
        <v>2900</v>
      </c>
    </row>
    <row r="31" spans="1:9" x14ac:dyDescent="0.3">
      <c r="A31" s="2">
        <v>1030</v>
      </c>
      <c r="B31" s="2" t="s">
        <v>45</v>
      </c>
      <c r="C31" s="2" t="s">
        <v>11</v>
      </c>
      <c r="D31" s="2" t="s">
        <v>12</v>
      </c>
      <c r="E31" s="2">
        <v>32</v>
      </c>
      <c r="F31" s="2">
        <v>10</v>
      </c>
      <c r="G31" s="3">
        <v>45335</v>
      </c>
      <c r="H31" s="4">
        <f t="shared" si="0"/>
        <v>320</v>
      </c>
      <c r="I31" s="4">
        <f>SUMIFS(H:H, D:D, "Notebook", C:C, "North")</f>
        <v>2900</v>
      </c>
    </row>
    <row r="32" spans="1:9" x14ac:dyDescent="0.3">
      <c r="A32" s="2">
        <v>1031</v>
      </c>
      <c r="B32" s="2" t="s">
        <v>46</v>
      </c>
      <c r="C32" s="2" t="s">
        <v>14</v>
      </c>
      <c r="D32" s="2" t="s">
        <v>15</v>
      </c>
      <c r="E32" s="2">
        <v>10</v>
      </c>
      <c r="F32" s="2">
        <v>25</v>
      </c>
      <c r="G32" s="3">
        <v>45336</v>
      </c>
      <c r="H32" s="4">
        <f t="shared" si="0"/>
        <v>250</v>
      </c>
      <c r="I32" s="4">
        <f>SUMIFS(H:H, D:D, "Notebook", C:C, "North")</f>
        <v>2900</v>
      </c>
    </row>
    <row r="33" spans="1:9" x14ac:dyDescent="0.3">
      <c r="A33" s="2">
        <v>1032</v>
      </c>
      <c r="B33" s="2" t="s">
        <v>47</v>
      </c>
      <c r="C33" s="2" t="s">
        <v>17</v>
      </c>
      <c r="D33" s="2" t="s">
        <v>19</v>
      </c>
      <c r="E33" s="2">
        <v>18</v>
      </c>
      <c r="F33" s="2">
        <v>5</v>
      </c>
      <c r="G33" s="3">
        <v>45338</v>
      </c>
      <c r="H33" s="4">
        <f t="shared" si="0"/>
        <v>90</v>
      </c>
      <c r="I33" s="4">
        <f>SUMIFS(H:H, D:D, "Notebook", C:C, "North")</f>
        <v>2900</v>
      </c>
    </row>
    <row r="34" spans="1:9" x14ac:dyDescent="0.3">
      <c r="A34" s="2">
        <v>1033</v>
      </c>
      <c r="B34" s="2" t="s">
        <v>48</v>
      </c>
      <c r="C34" s="2" t="s">
        <v>8</v>
      </c>
      <c r="D34" s="2" t="s">
        <v>22</v>
      </c>
      <c r="E34" s="2">
        <v>22</v>
      </c>
      <c r="F34" s="2">
        <v>8</v>
      </c>
      <c r="G34" s="3">
        <v>45339</v>
      </c>
      <c r="H34" s="4">
        <f t="shared" si="0"/>
        <v>176</v>
      </c>
      <c r="I34" s="4">
        <f>SUMIFS(H:H, D:D, "Notebook", C:C, "North")</f>
        <v>2900</v>
      </c>
    </row>
    <row r="35" spans="1:9" x14ac:dyDescent="0.3">
      <c r="A35" s="2">
        <v>1034</v>
      </c>
      <c r="B35" s="2" t="s">
        <v>49</v>
      </c>
      <c r="C35" s="2" t="s">
        <v>11</v>
      </c>
      <c r="D35" s="2" t="s">
        <v>9</v>
      </c>
      <c r="E35" s="2">
        <v>17</v>
      </c>
      <c r="F35" s="2">
        <v>50</v>
      </c>
      <c r="G35" s="3">
        <v>45340</v>
      </c>
      <c r="H35" s="4">
        <f t="shared" si="0"/>
        <v>850</v>
      </c>
      <c r="I35" s="4">
        <f>SUMIFS(H:H, D:D, "Notebook", C:C, "North")</f>
        <v>2900</v>
      </c>
    </row>
    <row r="36" spans="1:9" x14ac:dyDescent="0.3">
      <c r="A36" s="2">
        <v>1035</v>
      </c>
      <c r="B36" s="2" t="s">
        <v>50</v>
      </c>
      <c r="C36" s="2" t="s">
        <v>14</v>
      </c>
      <c r="D36" s="2" t="s">
        <v>12</v>
      </c>
      <c r="E36" s="2">
        <v>19</v>
      </c>
      <c r="F36" s="2">
        <v>10</v>
      </c>
      <c r="G36" s="3">
        <v>45341</v>
      </c>
      <c r="H36" s="4">
        <f t="shared" si="0"/>
        <v>190</v>
      </c>
      <c r="I36" s="4">
        <f>SUMIFS(H:H, D:D, "Notebook", C:C, "North")</f>
        <v>2900</v>
      </c>
    </row>
    <row r="37" spans="1:9" x14ac:dyDescent="0.3">
      <c r="A37" s="2">
        <v>1036</v>
      </c>
      <c r="B37" s="2" t="s">
        <v>51</v>
      </c>
      <c r="C37" s="2" t="s">
        <v>17</v>
      </c>
      <c r="D37" s="2" t="s">
        <v>15</v>
      </c>
      <c r="E37" s="2">
        <v>15</v>
      </c>
      <c r="F37" s="2">
        <v>25</v>
      </c>
      <c r="G37" s="3">
        <v>45343</v>
      </c>
      <c r="H37" s="4">
        <f t="shared" si="0"/>
        <v>375</v>
      </c>
      <c r="I37" s="4">
        <f>SUMIFS(H:H, D:D, "Notebook", C:C, "North")</f>
        <v>2900</v>
      </c>
    </row>
    <row r="38" spans="1:9" x14ac:dyDescent="0.3">
      <c r="A38" s="2">
        <v>1037</v>
      </c>
      <c r="B38" s="2" t="s">
        <v>52</v>
      </c>
      <c r="C38" s="2" t="s">
        <v>8</v>
      </c>
      <c r="D38" s="2" t="s">
        <v>19</v>
      </c>
      <c r="E38" s="2">
        <v>28</v>
      </c>
      <c r="F38" s="2">
        <v>5</v>
      </c>
      <c r="G38" s="3">
        <v>45344</v>
      </c>
      <c r="H38" s="4">
        <f t="shared" si="0"/>
        <v>140</v>
      </c>
      <c r="I38" s="4">
        <f>SUMIFS(H:H, D:D, "Notebook", C:C, "North")</f>
        <v>2900</v>
      </c>
    </row>
    <row r="39" spans="1:9" x14ac:dyDescent="0.3">
      <c r="A39" s="2">
        <v>1038</v>
      </c>
      <c r="B39" s="2" t="s">
        <v>53</v>
      </c>
      <c r="C39" s="2" t="s">
        <v>11</v>
      </c>
      <c r="D39" s="2" t="s">
        <v>22</v>
      </c>
      <c r="E39" s="2">
        <v>24</v>
      </c>
      <c r="F39" s="2">
        <v>8</v>
      </c>
      <c r="G39" s="3">
        <v>45345</v>
      </c>
      <c r="H39" s="4">
        <f t="shared" si="0"/>
        <v>192</v>
      </c>
      <c r="I39" s="4">
        <f>SUMIFS(H:H, D:D, "Notebook", C:C, "North")</f>
        <v>2900</v>
      </c>
    </row>
    <row r="40" spans="1:9" x14ac:dyDescent="0.3">
      <c r="A40" s="2">
        <v>1039</v>
      </c>
      <c r="B40" s="2" t="s">
        <v>54</v>
      </c>
      <c r="C40" s="2" t="s">
        <v>14</v>
      </c>
      <c r="D40" s="2" t="s">
        <v>9</v>
      </c>
      <c r="E40" s="2">
        <v>16</v>
      </c>
      <c r="F40" s="2">
        <v>50</v>
      </c>
      <c r="G40" s="3">
        <v>45347</v>
      </c>
      <c r="H40" s="4">
        <f t="shared" si="0"/>
        <v>800</v>
      </c>
      <c r="I40" s="4">
        <f>SUMIFS(H:H, D:D, "Notebook", C:C, "North")</f>
        <v>2900</v>
      </c>
    </row>
    <row r="41" spans="1:9" x14ac:dyDescent="0.3">
      <c r="A41" s="2">
        <v>1040</v>
      </c>
      <c r="B41" s="2" t="s">
        <v>55</v>
      </c>
      <c r="C41" s="2" t="s">
        <v>17</v>
      </c>
      <c r="D41" s="2" t="s">
        <v>12</v>
      </c>
      <c r="E41" s="2">
        <v>27</v>
      </c>
      <c r="F41" s="2">
        <v>10</v>
      </c>
      <c r="G41" s="3">
        <v>45348</v>
      </c>
      <c r="H41" s="4">
        <f t="shared" si="0"/>
        <v>270</v>
      </c>
      <c r="I41" s="4">
        <f>SUMIFS(H:H, D:D, "Notebook", C:C, "North")</f>
        <v>2900</v>
      </c>
    </row>
    <row r="42" spans="1:9" x14ac:dyDescent="0.3">
      <c r="A42" s="2">
        <v>1041</v>
      </c>
      <c r="B42" s="2" t="s">
        <v>56</v>
      </c>
      <c r="C42" s="2" t="s">
        <v>8</v>
      </c>
      <c r="D42" s="2" t="s">
        <v>15</v>
      </c>
      <c r="E42" s="2">
        <v>21</v>
      </c>
      <c r="F42" s="2">
        <v>25</v>
      </c>
      <c r="G42" s="3">
        <v>45349</v>
      </c>
      <c r="H42" s="4">
        <f t="shared" si="0"/>
        <v>525</v>
      </c>
      <c r="I42" s="4">
        <f>SUMIFS(H:H, D:D, "Notebook", C:C, "North")</f>
        <v>2900</v>
      </c>
    </row>
    <row r="43" spans="1:9" x14ac:dyDescent="0.3">
      <c r="A43" s="2">
        <v>1042</v>
      </c>
      <c r="B43" s="2" t="s">
        <v>57</v>
      </c>
      <c r="C43" s="2" t="s">
        <v>11</v>
      </c>
      <c r="D43" s="2" t="s">
        <v>19</v>
      </c>
      <c r="E43" s="2">
        <v>30</v>
      </c>
      <c r="F43" s="2">
        <v>5</v>
      </c>
      <c r="G43" s="3">
        <v>45350</v>
      </c>
      <c r="H43" s="4">
        <f t="shared" si="0"/>
        <v>150</v>
      </c>
      <c r="I43" s="4">
        <f>SUMIFS(H:H, D:D, "Notebook", C:C, "North")</f>
        <v>2900</v>
      </c>
    </row>
    <row r="44" spans="1:9" x14ac:dyDescent="0.3">
      <c r="A44" s="2">
        <v>1043</v>
      </c>
      <c r="B44" s="2" t="s">
        <v>58</v>
      </c>
      <c r="C44" s="2" t="s">
        <v>14</v>
      </c>
      <c r="D44" s="2" t="s">
        <v>22</v>
      </c>
      <c r="E44" s="2">
        <v>26</v>
      </c>
      <c r="F44" s="2">
        <v>8</v>
      </c>
      <c r="G44" s="3">
        <v>45352</v>
      </c>
      <c r="H44" s="4">
        <f t="shared" si="0"/>
        <v>208</v>
      </c>
      <c r="I44" s="4">
        <f>SUMIFS(H:H, D:D, "Notebook", C:C, "North")</f>
        <v>2900</v>
      </c>
    </row>
    <row r="45" spans="1:9" x14ac:dyDescent="0.3">
      <c r="A45" s="2">
        <v>1044</v>
      </c>
      <c r="B45" s="2" t="s">
        <v>59</v>
      </c>
      <c r="C45" s="2" t="s">
        <v>17</v>
      </c>
      <c r="D45" s="2" t="s">
        <v>9</v>
      </c>
      <c r="E45" s="2">
        <v>14</v>
      </c>
      <c r="F45" s="2">
        <v>50</v>
      </c>
      <c r="G45" s="3">
        <v>45353</v>
      </c>
      <c r="H45" s="4">
        <f t="shared" si="0"/>
        <v>700</v>
      </c>
      <c r="I45" s="4">
        <f>SUMIFS(H:H, D:D, "Notebook", C:C, "North")</f>
        <v>2900</v>
      </c>
    </row>
    <row r="46" spans="1:9" x14ac:dyDescent="0.3">
      <c r="A46" s="2">
        <v>1045</v>
      </c>
      <c r="B46" s="2" t="s">
        <v>60</v>
      </c>
      <c r="C46" s="2" t="s">
        <v>8</v>
      </c>
      <c r="D46" s="2" t="s">
        <v>12</v>
      </c>
      <c r="E46" s="2">
        <v>20</v>
      </c>
      <c r="F46" s="2">
        <v>10</v>
      </c>
      <c r="G46" s="3">
        <v>45354</v>
      </c>
      <c r="H46" s="4">
        <f t="shared" si="0"/>
        <v>200</v>
      </c>
      <c r="I46" s="4">
        <f>SUMIFS(H:H, D:D, "Notebook", C:C, "North")</f>
        <v>2900</v>
      </c>
    </row>
    <row r="47" spans="1:9" x14ac:dyDescent="0.3">
      <c r="A47" s="2">
        <v>1046</v>
      </c>
      <c r="B47" s="2" t="s">
        <v>61</v>
      </c>
      <c r="C47" s="2" t="s">
        <v>11</v>
      </c>
      <c r="D47" s="2" t="s">
        <v>15</v>
      </c>
      <c r="E47" s="2">
        <v>17</v>
      </c>
      <c r="F47" s="2">
        <v>25</v>
      </c>
      <c r="G47" s="3">
        <v>45355</v>
      </c>
      <c r="H47" s="4">
        <f t="shared" si="0"/>
        <v>425</v>
      </c>
      <c r="I47" s="4">
        <f>SUMIFS(H:H, D:D, "Notebook", C:C, "North")</f>
        <v>2900</v>
      </c>
    </row>
    <row r="48" spans="1:9" x14ac:dyDescent="0.3">
      <c r="A48" s="2">
        <v>1047</v>
      </c>
      <c r="B48" s="2" t="s">
        <v>62</v>
      </c>
      <c r="C48" s="2" t="s">
        <v>14</v>
      </c>
      <c r="D48" s="2" t="s">
        <v>19</v>
      </c>
      <c r="E48" s="2">
        <v>19</v>
      </c>
      <c r="F48" s="2">
        <v>5</v>
      </c>
      <c r="G48" s="3">
        <v>45356</v>
      </c>
      <c r="H48" s="4">
        <f t="shared" si="0"/>
        <v>95</v>
      </c>
      <c r="I48" s="4">
        <f>SUMIFS(H:H, D:D, "Notebook", C:C, "North")</f>
        <v>2900</v>
      </c>
    </row>
    <row r="49" spans="1:9" x14ac:dyDescent="0.3">
      <c r="A49" s="2">
        <v>1048</v>
      </c>
      <c r="B49" s="2" t="s">
        <v>63</v>
      </c>
      <c r="C49" s="2" t="s">
        <v>17</v>
      </c>
      <c r="D49" s="2" t="s">
        <v>22</v>
      </c>
      <c r="E49" s="2">
        <v>32</v>
      </c>
      <c r="F49" s="2">
        <v>8</v>
      </c>
      <c r="G49" s="3">
        <v>45357</v>
      </c>
      <c r="H49" s="4">
        <f t="shared" si="0"/>
        <v>256</v>
      </c>
      <c r="I49" s="4">
        <f>SUMIFS(H:H, D:D, "Notebook", C:C, "North")</f>
        <v>2900</v>
      </c>
    </row>
    <row r="50" spans="1:9" x14ac:dyDescent="0.3">
      <c r="A50" s="2">
        <v>1049</v>
      </c>
      <c r="B50" s="2" t="s">
        <v>64</v>
      </c>
      <c r="C50" s="2" t="s">
        <v>8</v>
      </c>
      <c r="D50" s="2" t="s">
        <v>9</v>
      </c>
      <c r="E50" s="2">
        <v>12</v>
      </c>
      <c r="F50" s="2">
        <v>50</v>
      </c>
      <c r="G50" s="3">
        <v>45358</v>
      </c>
      <c r="H50" s="4">
        <f t="shared" si="0"/>
        <v>600</v>
      </c>
      <c r="I50" s="4">
        <f>SUMIFS(H:H, D:D, "Notebook", C:C, "North")</f>
        <v>2900</v>
      </c>
    </row>
    <row r="51" spans="1:9" x14ac:dyDescent="0.3">
      <c r="A51" s="2">
        <v>1050</v>
      </c>
      <c r="B51" s="2" t="s">
        <v>65</v>
      </c>
      <c r="C51" s="2" t="s">
        <v>11</v>
      </c>
      <c r="D51" s="2" t="s">
        <v>12</v>
      </c>
      <c r="E51" s="2">
        <v>25</v>
      </c>
      <c r="F51" s="2">
        <v>10</v>
      </c>
      <c r="G51" s="3">
        <v>45359</v>
      </c>
      <c r="H51" s="4">
        <f t="shared" si="0"/>
        <v>250</v>
      </c>
      <c r="I51" s="4">
        <f>SUMIFS(H:H, D:D, "Notebook", C:C, "North")</f>
        <v>2900</v>
      </c>
    </row>
  </sheetData>
  <mergeCells count="1">
    <mergeCell ref="K1:L1"/>
  </mergeCells>
  <conditionalFormatting sqref="B1:B1048576">
    <cfRule type="duplicateValues" dxfId="6" priority="1"/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Patil</dc:creator>
  <cp:lastModifiedBy>Shital Patil</cp:lastModifiedBy>
  <cp:lastPrinted>2026-02-23T16:45:36Z</cp:lastPrinted>
  <dcterms:created xsi:type="dcterms:W3CDTF">2026-02-23T00:14:02Z</dcterms:created>
  <dcterms:modified xsi:type="dcterms:W3CDTF">2026-02-23T16:49:40Z</dcterms:modified>
</cp:coreProperties>
</file>